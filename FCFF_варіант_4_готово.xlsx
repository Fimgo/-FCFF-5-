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FF Mode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color rgb="000000FF"/>
    </font>
    <font>
      <b val="1"/>
    </font>
    <font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3" borderId="1" applyAlignment="1" pivotButton="0" quotePrefix="0" xfId="0">
      <alignment vertical="center"/>
    </xf>
    <xf numFmtId="165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Прогноз FCFF, млн грн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1F4E78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'FCFF Model'!$C$5:$G$5</f>
            </numRef>
          </cat>
          <val>
            <numRef>
              <f>'FCFF Model'!$C$14:$G$14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Рік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млн грн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1" customHeight="1">
      <c r="A1" s="1" t="inlineStr">
        <is>
          <t>Модель FCFF: п'ятирічний прогноз</t>
        </is>
      </c>
    </row>
    <row r="2" ht="32" customHeight="1"/>
    <row r="3" ht="21" customHeight="1"/>
    <row r="4" ht="21" customHeight="1">
      <c r="A4" s="2" t="inlineStr">
        <is>
          <t>Показник</t>
        </is>
      </c>
      <c r="B4" s="2" t="inlineStr">
        <is>
          <t>Початкове значення</t>
        </is>
      </c>
      <c r="C4" s="2" t="inlineStr">
        <is>
          <t>Рік 1</t>
        </is>
      </c>
      <c r="D4" s="2" t="inlineStr">
        <is>
          <t>Рік 2</t>
        </is>
      </c>
      <c r="E4" s="2" t="inlineStr">
        <is>
          <t>Рік 3</t>
        </is>
      </c>
      <c r="F4" s="2" t="inlineStr">
        <is>
          <t>Рік 4</t>
        </is>
      </c>
      <c r="G4" s="2" t="inlineStr">
        <is>
          <t>Рік 5</t>
        </is>
      </c>
    </row>
    <row r="5" ht="21" customHeight="1">
      <c r="A5" s="3" t="inlineStr">
        <is>
          <t>Рік</t>
        </is>
      </c>
      <c r="B5" s="4" t="inlineStr">
        <is>
          <t>Базовий рік</t>
        </is>
      </c>
      <c r="C5" s="4" t="inlineStr">
        <is>
          <t>Рік 1</t>
        </is>
      </c>
      <c r="D5" s="4" t="inlineStr">
        <is>
          <t>Рік 2</t>
        </is>
      </c>
      <c r="E5" s="4" t="inlineStr">
        <is>
          <t>Рік 3</t>
        </is>
      </c>
      <c r="F5" s="4" t="inlineStr">
        <is>
          <t>Рік 4</t>
        </is>
      </c>
      <c r="G5" s="4" t="inlineStr">
        <is>
          <t>Рік 5</t>
        </is>
      </c>
    </row>
    <row r="6" ht="21" customHeight="1">
      <c r="A6" s="3" t="inlineStr">
        <is>
          <t>Виручка</t>
        </is>
      </c>
      <c r="B6" s="5" t="n">
        <v>1120</v>
      </c>
      <c r="C6" s="5" t="n">
        <v>1185</v>
      </c>
      <c r="D6" s="5" t="n">
        <v>1253.7</v>
      </c>
      <c r="E6" s="5" t="n">
        <v>1326.4</v>
      </c>
      <c r="F6" s="5" t="n">
        <v>1403.3</v>
      </c>
      <c r="G6" s="5" t="n">
        <v>1484.7</v>
      </c>
    </row>
    <row r="7" ht="21" customHeight="1">
      <c r="A7" s="3" t="inlineStr">
        <is>
          <t>Операційні витрати</t>
        </is>
      </c>
      <c r="B7" s="5" t="n">
        <v>699</v>
      </c>
      <c r="C7" s="5" t="n">
        <v>739.5</v>
      </c>
      <c r="D7" s="5" t="n">
        <v>782.4</v>
      </c>
      <c r="E7" s="5" t="n">
        <v>827.8</v>
      </c>
      <c r="F7" s="5" t="n">
        <v>875.8</v>
      </c>
      <c r="G7" s="5" t="n">
        <v>926.6</v>
      </c>
    </row>
    <row r="8" ht="21" customHeight="1">
      <c r="A8" s="3" t="inlineStr">
        <is>
          <t>EBIT</t>
        </is>
      </c>
      <c r="B8" s="5" t="n">
        <v>351</v>
      </c>
      <c r="C8" s="5" t="n">
        <v>371.4</v>
      </c>
      <c r="D8" s="5" t="n">
        <v>392.9</v>
      </c>
      <c r="E8" s="5" t="n">
        <v>415.7</v>
      </c>
      <c r="F8" s="5" t="n">
        <v>439.8</v>
      </c>
      <c r="G8" s="5" t="n">
        <v>465.3</v>
      </c>
    </row>
    <row r="9" ht="21" customHeight="1">
      <c r="A9" s="3" t="inlineStr">
        <is>
          <t>Податки</t>
        </is>
      </c>
      <c r="B9" s="5" t="n">
        <v>63.2</v>
      </c>
      <c r="C9" s="5" t="n">
        <v>66.8</v>
      </c>
      <c r="D9" s="5" t="n">
        <v>70.7</v>
      </c>
      <c r="E9" s="5" t="n">
        <v>74.8</v>
      </c>
      <c r="F9" s="5" t="n">
        <v>79.2</v>
      </c>
      <c r="G9" s="5" t="n">
        <v>83.8</v>
      </c>
    </row>
    <row r="10" ht="21" customHeight="1">
      <c r="A10" s="3" t="inlineStr">
        <is>
          <t>EBIT (1 - Tax)</t>
        </is>
      </c>
      <c r="B10" s="5" t="n">
        <v>287.8</v>
      </c>
      <c r="C10" s="5" t="n">
        <v>304.5</v>
      </c>
      <c r="D10" s="5" t="n">
        <v>322.2</v>
      </c>
      <c r="E10" s="5" t="n">
        <v>340.9</v>
      </c>
      <c r="F10" s="5" t="n">
        <v>360.6</v>
      </c>
      <c r="G10" s="5" t="n">
        <v>381.5</v>
      </c>
    </row>
    <row r="11" ht="21" customHeight="1">
      <c r="A11" s="3" t="inlineStr">
        <is>
          <t>Амортизація</t>
        </is>
      </c>
      <c r="B11" s="5" t="n">
        <v>70</v>
      </c>
      <c r="C11" s="5" t="n">
        <v>74.09999999999999</v>
      </c>
      <c r="D11" s="5" t="n">
        <v>78.40000000000001</v>
      </c>
      <c r="E11" s="5" t="n">
        <v>82.90000000000001</v>
      </c>
      <c r="F11" s="5" t="n">
        <v>87.7</v>
      </c>
      <c r="G11" s="5" t="n">
        <v>92.8</v>
      </c>
    </row>
    <row r="12" ht="21" customHeight="1">
      <c r="A12" s="3" t="inlineStr">
        <is>
          <t>CapEx</t>
        </is>
      </c>
      <c r="B12" s="5" t="n">
        <v>103</v>
      </c>
      <c r="C12" s="5" t="n">
        <v>103.1</v>
      </c>
      <c r="D12" s="5" t="n">
        <v>109.1</v>
      </c>
      <c r="E12" s="5" t="n">
        <v>115.4</v>
      </c>
      <c r="F12" s="5" t="n">
        <v>122.1</v>
      </c>
      <c r="G12" s="5" t="n">
        <v>129.2</v>
      </c>
    </row>
    <row r="13" ht="21" customHeight="1">
      <c r="A13" s="3" t="inlineStr">
        <is>
          <t>ΔWC</t>
        </is>
      </c>
      <c r="B13" s="5" t="n">
        <v>32</v>
      </c>
      <c r="C13" s="5" t="n">
        <v>1.6</v>
      </c>
      <c r="D13" s="5" t="n">
        <v>1.6</v>
      </c>
      <c r="E13" s="5" t="n">
        <v>1.7</v>
      </c>
      <c r="F13" s="5" t="n">
        <v>1.8</v>
      </c>
      <c r="G13" s="5" t="n">
        <v>2</v>
      </c>
    </row>
    <row r="14" ht="21" customHeight="1">
      <c r="A14" s="6" t="inlineStr">
        <is>
          <t>FCFF</t>
        </is>
      </c>
      <c r="B14" s="7" t="n">
        <v>222.8</v>
      </c>
      <c r="C14" s="7" t="n">
        <v>273.9</v>
      </c>
      <c r="D14" s="7" t="n">
        <v>289.8</v>
      </c>
      <c r="E14" s="7" t="n">
        <v>306.6</v>
      </c>
      <c r="F14" s="7" t="n">
        <v>324.4</v>
      </c>
      <c r="G14" s="7" t="n">
        <v>343.2</v>
      </c>
    </row>
    <row r="15" ht="21" customHeight="1"/>
    <row r="16" ht="21" customHeight="1"/>
    <row r="17" ht="21" customHeight="1">
      <c r="A17" s="8" t="inlineStr">
        <is>
          <t>Графік FCFF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4" customWidth="1" min="4" max="4"/>
  </cols>
  <sheetData>
    <row r="1" ht="21" customHeight="1">
      <c r="A1" s="1" t="inlineStr">
        <is>
          <t>Вхідні дані та прогнозні припущення: варіант 4</t>
        </is>
      </c>
    </row>
    <row r="2" ht="21" customHeight="1"/>
    <row r="3" ht="21" customHeight="1">
      <c r="A3" s="2" t="inlineStr">
        <is>
          <t>Показник</t>
        </is>
      </c>
      <c r="B3" s="2" t="inlineStr">
        <is>
          <t>Значення</t>
        </is>
      </c>
      <c r="C3" s="2" t="inlineStr">
        <is>
          <t>Одиниця</t>
        </is>
      </c>
      <c r="D3" s="2" t="inlineStr">
        <is>
          <t>Джерело/логіка</t>
        </is>
      </c>
    </row>
    <row r="4" ht="21" customHeight="1">
      <c r="A4" s="9" t="inlineStr">
        <is>
          <t>Виручка</t>
        </is>
      </c>
      <c r="B4" s="10" t="n">
        <v>1120</v>
      </c>
      <c r="C4" s="3" t="inlineStr">
        <is>
          <t>млн грн</t>
        </is>
      </c>
      <c r="D4" s="3" t="inlineStr">
        <is>
          <t>Початкові дані варіанта 4</t>
        </is>
      </c>
    </row>
    <row r="5" ht="21" customHeight="1">
      <c r="A5" s="9" t="inlineStr">
        <is>
          <t>Операційні витрати</t>
        </is>
      </c>
      <c r="B5" s="10" t="n">
        <v>699</v>
      </c>
      <c r="C5" s="3" t="inlineStr">
        <is>
          <t>млн грн</t>
        </is>
      </c>
      <c r="D5" s="3" t="inlineStr">
        <is>
          <t>Початкові дані варіанта 4</t>
        </is>
      </c>
    </row>
    <row r="6" ht="21" customHeight="1">
      <c r="A6" s="9" t="inlineStr">
        <is>
          <t>Амортизація</t>
        </is>
      </c>
      <c r="B6" s="10" t="n">
        <v>70</v>
      </c>
      <c r="C6" s="3" t="inlineStr">
        <is>
          <t>млн грн</t>
        </is>
      </c>
      <c r="D6" s="3" t="inlineStr">
        <is>
          <t>Початкові дані варіанта 4</t>
        </is>
      </c>
    </row>
    <row r="7" ht="21" customHeight="1">
      <c r="A7" s="9" t="inlineStr">
        <is>
          <t>CapEx</t>
        </is>
      </c>
      <c r="B7" s="10" t="n">
        <v>103</v>
      </c>
      <c r="C7" s="3" t="inlineStr">
        <is>
          <t>млн грн</t>
        </is>
      </c>
      <c r="D7" s="3" t="inlineStr">
        <is>
          <t>Початкові дані варіанта 4</t>
        </is>
      </c>
    </row>
    <row r="8" ht="21" customHeight="1">
      <c r="A8" s="9" t="inlineStr">
        <is>
          <t>ΔWC</t>
        </is>
      </c>
      <c r="B8" s="10" t="n">
        <v>32</v>
      </c>
      <c r="C8" s="3" t="inlineStr">
        <is>
          <t>млн грн</t>
        </is>
      </c>
      <c r="D8" s="3" t="inlineStr">
        <is>
          <t>Початкові дані варіанта 4</t>
        </is>
      </c>
    </row>
    <row r="9" ht="21" customHeight="1">
      <c r="A9" s="9" t="inlineStr">
        <is>
          <t>Темп росту виручки</t>
        </is>
      </c>
      <c r="B9" s="10" t="n">
        <v>0.058</v>
      </c>
      <c r="C9" s="3" t="inlineStr">
        <is>
          <t>%</t>
        </is>
      </c>
      <c r="D9" s="3" t="inlineStr">
        <is>
          <t>Індивідуальне припущення</t>
        </is>
      </c>
    </row>
    <row r="10" ht="21" customHeight="1">
      <c r="A10" s="9" t="inlineStr">
        <is>
          <t>CapEx як % від виручки</t>
        </is>
      </c>
      <c r="B10" s="11" t="n">
        <v>0.08699999999999999</v>
      </c>
      <c r="C10" s="3" t="inlineStr">
        <is>
          <t>%</t>
        </is>
      </c>
      <c r="D10" s="3" t="inlineStr">
        <is>
          <t>Індивідуальне припущення</t>
        </is>
      </c>
    </row>
    <row r="11" ht="21" customHeight="1">
      <c r="A11" s="9" t="inlineStr">
        <is>
          <t>ΔWC як % від приросту виручки</t>
        </is>
      </c>
      <c r="B11" s="11" t="n">
        <v>0.024</v>
      </c>
      <c r="C11" s="3" t="inlineStr">
        <is>
          <t>%</t>
        </is>
      </c>
      <c r="D11" s="3" t="inlineStr">
        <is>
          <t>Індивідуальне припущення</t>
        </is>
      </c>
    </row>
    <row r="12" ht="21" customHeight="1">
      <c r="A12" s="9" t="inlineStr">
        <is>
          <t>Податкова ставка</t>
        </is>
      </c>
      <c r="B12" s="11" t="n">
        <v>0.18</v>
      </c>
      <c r="C12" s="3" t="inlineStr">
        <is>
          <t>%</t>
        </is>
      </c>
      <c r="D12" s="3" t="inlineStr">
        <is>
          <t>Індивідуальне припущення</t>
        </is>
      </c>
    </row>
    <row r="13" ht="21" customHeight="1">
      <c r="A13" s="3" t="inlineStr">
        <is>
          <t>Операційні витрати як % виручки</t>
        </is>
      </c>
      <c r="B13" s="12" t="n">
        <v>0.6241071428571429</v>
      </c>
      <c r="C13" s="3" t="inlineStr">
        <is>
          <t>%</t>
        </is>
      </c>
      <c r="D13" s="3" t="inlineStr">
        <is>
          <t>Розраховано з базового року</t>
        </is>
      </c>
    </row>
    <row r="14" ht="21" customHeight="1">
      <c r="A14" s="3" t="inlineStr">
        <is>
          <t>Амортизація як % виручки</t>
        </is>
      </c>
      <c r="B14" s="12" t="n">
        <v>0.0625</v>
      </c>
      <c r="C14" s="3" t="inlineStr">
        <is>
          <t>%</t>
        </is>
      </c>
      <c r="D14" s="3" t="inlineStr">
        <is>
          <t>Розраховано з базового року</t>
        </is>
      </c>
    </row>
    <row r="15" ht="21" customHeight="1">
      <c r="A15" s="3" t="n"/>
      <c r="B15" s="12" t="n"/>
      <c r="C15" s="3" t="n"/>
      <c r="D15" s="3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32" customWidth="1" min="3" max="3"/>
  </cols>
  <sheetData>
    <row r="1" ht="21" customHeight="1">
      <c r="A1" s="1" t="inlineStr">
        <is>
          <t>Методика розрахунку</t>
        </is>
      </c>
    </row>
    <row r="2" ht="21" customHeight="1"/>
    <row r="3" ht="21" customHeight="1">
      <c r="A3" s="2" t="inlineStr">
        <is>
          <t>Показник</t>
        </is>
      </c>
      <c r="B3" s="2" t="inlineStr">
        <is>
          <t>Формула</t>
        </is>
      </c>
      <c r="C3" s="2" t="inlineStr">
        <is>
          <t>Пояснення</t>
        </is>
      </c>
    </row>
    <row r="4" ht="34" customHeight="1">
      <c r="A4" s="13" t="inlineStr">
        <is>
          <t>Виручка t</t>
        </is>
      </c>
      <c r="B4" s="14" t="inlineStr">
        <is>
          <t>Виручка t-1 × (1 + темп росту виручки)</t>
        </is>
      </c>
      <c r="C4" s="14" t="inlineStr">
        <is>
          <t>Темп росту = 5.8%</t>
        </is>
      </c>
    </row>
    <row r="5" ht="34" customHeight="1">
      <c r="A5" s="13" t="inlineStr">
        <is>
          <t>Операційні витрати t</t>
        </is>
      </c>
      <c r="B5" s="14" t="inlineStr">
        <is>
          <t>Виручка t × (операційні витрати базового року / виручка базового року)</t>
        </is>
      </c>
      <c r="C5" s="14" t="inlineStr">
        <is>
          <t>Частка витрат стала</t>
        </is>
      </c>
    </row>
    <row r="6" ht="34" customHeight="1">
      <c r="A6" s="13" t="inlineStr">
        <is>
          <t>Амортизація t</t>
        </is>
      </c>
      <c r="B6" s="14" t="inlineStr">
        <is>
          <t>Виручка t × (амортизація базового року / виручка базового року)</t>
        </is>
      </c>
      <c r="C6" s="14" t="inlineStr">
        <is>
          <t>Частка амортизації стала</t>
        </is>
      </c>
    </row>
    <row r="7" ht="34" customHeight="1">
      <c r="A7" s="13" t="inlineStr">
        <is>
          <t>EBIT</t>
        </is>
      </c>
      <c r="B7" s="14" t="inlineStr">
        <is>
          <t>Виручка - операційні витрати - амортизація</t>
        </is>
      </c>
      <c r="C7" s="14" t="inlineStr">
        <is>
          <t>Операційний прибуток</t>
        </is>
      </c>
    </row>
    <row r="8" ht="34" customHeight="1">
      <c r="A8" s="13" t="inlineStr">
        <is>
          <t>Податки</t>
        </is>
      </c>
      <c r="B8" s="14" t="inlineStr">
        <is>
          <t>EBIT × 18%</t>
        </is>
      </c>
      <c r="C8" s="14" t="inlineStr">
        <is>
          <t>Податкова ставка варіанта 4</t>
        </is>
      </c>
    </row>
    <row r="9" ht="34" customHeight="1">
      <c r="A9" s="13" t="inlineStr">
        <is>
          <t>EBIT (1 - Tax)</t>
        </is>
      </c>
      <c r="B9" s="14" t="inlineStr">
        <is>
          <t>EBIT - податки</t>
        </is>
      </c>
      <c r="C9" s="14" t="inlineStr">
        <is>
          <t>NOPAT</t>
        </is>
      </c>
    </row>
    <row r="10" ht="34" customHeight="1">
      <c r="A10" s="13" t="inlineStr">
        <is>
          <t>CapEx t</t>
        </is>
      </c>
      <c r="B10" s="14" t="inlineStr">
        <is>
          <t>Виручка t × 8.7%</t>
        </is>
      </c>
      <c r="C10" s="14" t="inlineStr">
        <is>
          <t>CapEx як % від виручки</t>
        </is>
      </c>
    </row>
    <row r="11" ht="34" customHeight="1">
      <c r="A11" s="13" t="inlineStr">
        <is>
          <t>ΔWC t</t>
        </is>
      </c>
      <c r="B11" s="14" t="inlineStr">
        <is>
          <t>(Виручка t - виручка t-1) × 2.4%</t>
        </is>
      </c>
      <c r="C11" s="14" t="inlineStr">
        <is>
          <t>Зміна робочого капіталу</t>
        </is>
      </c>
    </row>
    <row r="12" ht="34" customHeight="1">
      <c r="A12" s="13" t="inlineStr">
        <is>
          <t>FCFF</t>
        </is>
      </c>
      <c r="B12" s="14" t="inlineStr">
        <is>
          <t>EBIT (1 - Tax) + амортизація - CapEx - ΔWC</t>
        </is>
      </c>
      <c r="C12" s="14" t="inlineStr">
        <is>
          <t>Вільний грошовий потік для фірми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2026-05-15T17:13:09Z</dcterms:created>
  <dcterms:modified xmlns:dcterms="http://purl.org/dc/terms/" xmlns:xsi="http://www.w3.org/2001/XMLSchema-instance" xsi:type="dcterms:W3CDTF">2026-05-15T17:13:09Z</dcterms:modified>
</cp:coreProperties>
</file>